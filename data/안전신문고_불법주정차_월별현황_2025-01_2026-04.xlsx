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 처리결과" sheetId="1" state="visible" r:id="rId3"/>
    <sheet name="월별 신고유형" sheetId="2" state="visible" r:id="rId4"/>
    <sheet name="출처·읽는 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<sst xmlns="http://schemas.openxmlformats.org/spreadsheetml/2006/main" count="101" uniqueCount="75">
  <si>
    <t xml:space="preserve">월</t>
  </si>
  <si>
    <t xml:space="preserve">전체 안전신고</t>
  </si>
  <si>
    <t xml:space="preserve">불법주정차 신고</t>
  </si>
  <si>
    <t xml:space="preserve">불법주정차 비중</t>
  </si>
  <si>
    <t xml:space="preserve">판정 모수</t>
  </si>
  <si>
    <r>
      <rPr>
        <b val="true"/>
        <sz val="10"/>
        <color rgb="FFFFFFFF"/>
        <rFont val="Noto Sans CJK SC"/>
        <family val="2"/>
      </rPr>
      <t xml:space="preserve">개선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조치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</si>
  <si>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조치율</t>
  </si>
  <si>
    <t xml:space="preserve">불수용</t>
  </si>
  <si>
    <t xml:space="preserve">불수용률</t>
  </si>
  <si>
    <t xml:space="preserve">수용</t>
  </si>
  <si>
    <t xml:space="preserve">일부수용</t>
  </si>
  <si>
    <t xml:space="preserve">기완료</t>
  </si>
  <si>
    <t xml:space="preserve">검토중</t>
  </si>
  <si>
    <t xml:space="preserve">기타</t>
  </si>
  <si>
    <t xml:space="preserve">취하</t>
  </si>
  <si>
    <t xml:space="preserve">처리중</t>
  </si>
  <si>
    <r>
      <rPr>
        <sz val="10"/>
        <rFont val="Noto Sans CJK SC"/>
        <family val="2"/>
      </rPr>
      <t xml:space="preserve">※ 판정 모수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불법주정차 신고 − 취하 − 처리중</t>
    </r>
    <r>
      <rPr>
        <sz val="10"/>
        <rFont val="Arial"/>
        <family val="0"/>
        <charset val="1"/>
      </rPr>
      <t xml:space="preserve">. PDF</t>
    </r>
    <r>
      <rPr>
        <sz val="10"/>
        <rFont val="Noto Sans CJK SC"/>
        <family val="2"/>
      </rPr>
      <t xml:space="preserve">가 조치율을 이 모수로 계산한다</t>
    </r>
    <r>
      <rPr>
        <sz val="10"/>
        <rFont val="Arial"/>
        <family val="0"/>
        <charset val="1"/>
      </rPr>
      <t xml:space="preserve">.</t>
    </r>
  </si>
  <si>
    <t xml:space="preserve">2025-01</t>
  </si>
  <si>
    <r>
      <rPr>
        <sz val="10"/>
        <rFont val="Arial"/>
        <family val="0"/>
        <charset val="1"/>
      </rPr>
      <t xml:space="preserve">※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월은 국가정보자원관리원 화재로 안전신문고 미운영</t>
    </r>
    <r>
      <rPr>
        <sz val="10"/>
        <rFont val="Arial"/>
        <family val="0"/>
        <charset val="1"/>
      </rPr>
      <t xml:space="preserve">(9.26~11.4 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).</t>
    </r>
  </si>
  <si>
    <t xml:space="preserve">2025-02</t>
  </si>
  <si>
    <r>
      <rPr>
        <sz val="10"/>
        <rFont val="Arial"/>
        <family val="0"/>
        <charset val="1"/>
      </rPr>
      <t xml:space="preserve">※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(9.1~9.26)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(11.5~11.30)</t>
    </r>
    <r>
      <rPr>
        <sz val="10"/>
        <rFont val="Noto Sans CJK SC"/>
        <family val="2"/>
      </rPr>
      <t xml:space="preserve">은 부분월이다</t>
    </r>
    <r>
      <rPr>
        <sz val="10"/>
        <rFont val="Arial"/>
        <family val="0"/>
        <charset val="1"/>
      </rPr>
      <t xml:space="preserve">.</t>
    </r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</si>
  <si>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</si>
  <si>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</si>
  <si>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</si>
  <si>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</si>
  <si>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</si>
  <si>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</si>
  <si>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</si>
  <si>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</si>
  <si>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</si>
  <si>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</si>
  <si>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</si>
  <si>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</si>
  <si>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</si>
  <si>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합계</t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</si>
  <si>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대 소계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</si>
  <si>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대 비중</t>
    </r>
  </si>
  <si>
    <t xml:space="preserve">소화전</t>
  </si>
  <si>
    <t xml:space="preserve">교차로 모퉁이</t>
  </si>
  <si>
    <t xml:space="preserve">버스정류소</t>
  </si>
  <si>
    <t xml:space="preserve">횡단보도</t>
  </si>
  <si>
    <t xml:space="preserve">어린이보호구역</t>
  </si>
  <si>
    <t xml:space="preserve">인도</t>
  </si>
  <si>
    <t xml:space="preserve">일반 소계</t>
  </si>
  <si>
    <t xml:space="preserve">장애인전용</t>
  </si>
  <si>
    <t xml:space="preserve">소방차전용</t>
  </si>
  <si>
    <t xml:space="preserve">친환경차충전</t>
  </si>
  <si>
    <t xml:space="preserve">좌표로 유형 판정이 가능한가</t>
  </si>
  <si>
    <t xml:space="preserve">가능 — 전국횡단보도표준데이터</t>
  </si>
  <si>
    <t xml:space="preserve">가능 — 전국어린이보호구역표준데이터</t>
  </si>
  <si>
    <r>
      <rPr>
        <sz val="10"/>
        <rFont val="Noto Sans CJK SC"/>
        <family val="2"/>
      </rPr>
      <t xml:space="preserve">가능 — 국토부 </t>
    </r>
    <r>
      <rPr>
        <sz val="10"/>
        <rFont val="Arial"/>
        <family val="0"/>
        <charset val="1"/>
      </rPr>
      <t xml:space="preserve">TAGO </t>
    </r>
    <r>
      <rPr>
        <sz val="10"/>
        <rFont val="Noto Sans CJK SC"/>
        <family val="2"/>
      </rPr>
      <t xml:space="preserve">정류소 </t>
    </r>
    <r>
      <rPr>
        <sz val="10"/>
        <rFont val="Arial"/>
        <family val="0"/>
        <charset val="1"/>
      </rPr>
      <t xml:space="preserve">API</t>
    </r>
  </si>
  <si>
    <t xml:space="preserve">부분 — 시도별로 흩어져 있음</t>
  </si>
  <si>
    <t xml:space="preserve">부분 — 도로망 교차점을 따로 계산해야 함</t>
  </si>
  <si>
    <t xml:space="preserve">불가 — 사진 판독에만 의존</t>
  </si>
  <si>
    <r>
      <rPr>
        <sz val="10"/>
        <rFont val="Noto Sans CJK SC"/>
        <family val="2"/>
      </rPr>
      <t xml:space="preserve">장애인전용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친환경차충전</t>
    </r>
  </si>
  <si>
    <t xml:space="preserve">불가 — 좌표 데이터 없음</t>
  </si>
  <si>
    <t xml:space="preserve">항목</t>
  </si>
  <si>
    <t xml:space="preserve">내용</t>
  </si>
  <si>
    <t xml:space="preserve">무엇인가</t>
  </si>
  <si>
    <r>
      <rPr>
        <sz val="10"/>
        <rFont val="Noto Sans CJK SC"/>
        <family val="2"/>
      </rPr>
      <t xml:space="preserve">안전신문고가 매월 자료실에 올리는 </t>
    </r>
    <r>
      <rPr>
        <sz val="10"/>
        <rFont val="Arial"/>
        <family val="0"/>
        <charset val="1"/>
      </rPr>
      <t xml:space="preserve">'○</t>
    </r>
    <r>
      <rPr>
        <sz val="10"/>
        <rFont val="Noto Sans CJK SC"/>
        <family val="2"/>
      </rPr>
      <t xml:space="preserve">월 안전신문고 운영 현황</t>
    </r>
    <r>
      <rPr>
        <sz val="10"/>
        <rFont val="Arial"/>
        <family val="0"/>
        <charset val="1"/>
      </rPr>
      <t xml:space="preserve">' PDF</t>
    </r>
    <r>
      <rPr>
        <sz val="10"/>
        <rFont val="Noto Sans CJK SC"/>
        <family val="2"/>
      </rPr>
      <t xml:space="preserve">에서 불법주정차 부분만 옮긴 것</t>
    </r>
    <r>
      <rPr>
        <sz val="10"/>
        <rFont val="Arial"/>
        <family val="0"/>
        <charset val="1"/>
      </rPr>
      <t xml:space="preserve">.</t>
    </r>
  </si>
  <si>
    <t xml:space="preserve">대상 기간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</si>
  <si>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~ 2026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(15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). 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월은 자료 자체가 없다</t>
    </r>
    <r>
      <rPr>
        <sz val="10"/>
        <rFont val="Arial"/>
        <family val="0"/>
        <charset val="1"/>
      </rPr>
      <t xml:space="preserve">.</t>
    </r>
  </si>
  <si>
    <t xml:space="preserve">출처</t>
  </si>
  <si>
    <r>
      <rPr>
        <sz val="10"/>
        <rFont val="Arial"/>
        <family val="0"/>
        <charset val="1"/>
      </rPr>
      <t xml:space="preserve">https://safetyreport.go.kr/#/safeinformation/resourceRoom — </t>
    </r>
    <r>
      <rPr>
        <sz val="10"/>
        <rFont val="Noto Sans CJK SC"/>
        <family val="2"/>
      </rPr>
      <t xml:space="preserve">월별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첨부파일</t>
    </r>
  </si>
  <si>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년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</si>
  <si>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국가정보자원관리원 화재로 안전신문고가 </t>
    </r>
    <r>
      <rPr>
        <sz val="10"/>
        <rFont val="Arial"/>
        <family val="0"/>
        <charset val="1"/>
      </rPr>
      <t xml:space="preserve">9.26~11.4 </t>
    </r>
    <r>
      <rPr>
        <sz val="10"/>
        <rFont val="Noto Sans CJK SC"/>
        <family val="2"/>
      </rPr>
      <t xml:space="preserve">장애</t>
    </r>
    <r>
      <rPr>
        <sz val="10"/>
        <rFont val="Arial"/>
        <family val="0"/>
        <charset val="1"/>
      </rPr>
      <t xml:space="preserve">. 10</t>
    </r>
    <r>
      <rPr>
        <sz val="10"/>
        <rFont val="Noto Sans CJK SC"/>
        <family val="2"/>
      </rPr>
      <t xml:space="preserve">월은 미운영이라 자료가 없다</t>
    </r>
    <r>
      <rPr>
        <sz val="10"/>
        <rFont val="Arial"/>
        <family val="0"/>
        <charset val="1"/>
      </rPr>
      <t xml:space="preserve">.</t>
    </r>
  </si>
  <si>
    <t xml:space="preserve">부분월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</si>
  <si>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월은 </t>
    </r>
    <r>
      <rPr>
        <sz val="10"/>
        <rFont val="Arial"/>
        <family val="0"/>
        <charset val="1"/>
      </rPr>
      <t xml:space="preserve">9.1~9.26, 11</t>
    </r>
    <r>
      <rPr>
        <sz val="10"/>
        <rFont val="Noto Sans CJK SC"/>
        <family val="2"/>
      </rPr>
      <t xml:space="preserve">월은 </t>
    </r>
    <r>
      <rPr>
        <sz val="10"/>
        <rFont val="Arial"/>
        <family val="0"/>
        <charset val="1"/>
      </rPr>
      <t xml:space="preserve">11.5~11.30 </t>
    </r>
    <r>
      <rPr>
        <sz val="10"/>
        <rFont val="Noto Sans CJK SC"/>
        <family val="2"/>
      </rPr>
      <t xml:space="preserve">운영분이다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다른 달과 같은 기준으로 비교하면 안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</si>
  <si>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는 조치율을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신고 − 취하 − 처리중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나눠 계산한다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불수용률도 같은 모수로 계산했다</t>
    </r>
    <r>
      <rPr>
        <sz val="10"/>
        <rFont val="Arial"/>
        <family val="0"/>
        <charset val="1"/>
      </rPr>
      <t xml:space="preserve">.</t>
    </r>
  </si>
  <si>
    <t xml:space="preserve">검증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</si>
  <si>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개월 모두 ①수용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일부수용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기완료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개선 ②개선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검토중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불수용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취하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처리중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신고 ③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신고 가 정확히 성립하고</t>
    </r>
    <r>
      <rPr>
        <sz val="10"/>
        <rFont val="Arial"/>
        <family val="0"/>
        <charset val="1"/>
      </rPr>
      <t xml:space="preserve">, PDF</t>
    </r>
    <r>
      <rPr>
        <sz val="10"/>
        <rFont val="Noto Sans CJK SC"/>
        <family val="2"/>
      </rPr>
      <t xml:space="preserve">에 적힌 조치율과 계산값이 </t>
    </r>
    <r>
      <rPr>
        <sz val="10"/>
        <rFont val="Arial"/>
        <family val="0"/>
        <charset val="1"/>
      </rPr>
      <t xml:space="preserve">0.1%p</t>
    </r>
    <r>
      <rPr>
        <sz val="10"/>
        <rFont val="Noto Sans CJK SC"/>
        <family val="2"/>
      </rPr>
      <t xml:space="preserve">까지 일치한다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</si>
  <si>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</si>
  <si>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</rPr>
      <t xml:space="preserve">이 표의 처리결과는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불법주정차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만의 것이다</t>
    </r>
    <r>
      <rPr>
        <sz val="10"/>
        <rFont val="Arial"/>
        <family val="0"/>
        <charset val="1"/>
      </rPr>
      <t xml:space="preserve">. PDF </t>
    </r>
    <r>
      <rPr>
        <sz val="10"/>
        <rFont val="Noto Sans CJK SC"/>
        <family val="2"/>
      </rPr>
      <t xml:space="preserve">앞쪽 </t>
    </r>
    <r>
      <rPr>
        <sz val="10"/>
        <rFont val="Arial"/>
        <family val="0"/>
        <charset val="1"/>
      </rPr>
      <t xml:space="preserve">'Ⅰ. </t>
    </r>
    <r>
      <rPr>
        <sz val="10"/>
        <rFont val="Noto Sans CJK SC"/>
        <family val="2"/>
      </rPr>
      <t xml:space="preserve">신고 및 처리 현황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전체 안전신고 표와 혼동하면 안 된다</t>
    </r>
    <r>
      <rPr>
        <sz val="10"/>
        <rFont val="Arial"/>
        <family val="0"/>
        <charset val="1"/>
      </rPr>
      <t xml:space="preserve">.</t>
    </r>
  </si>
  <si>
    <t xml:space="preserve">왜 중요한가</t>
  </si>
  <si>
    <r>
      <rPr>
        <sz val="10"/>
        <rFont val="Arial"/>
        <family val="0"/>
        <charset val="1"/>
      </rPr>
      <t xml:space="preserve">2020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월 행안부 발표의 불수용률은 </t>
    </r>
    <r>
      <rPr>
        <sz val="10"/>
        <rFont val="Arial"/>
        <family val="0"/>
        <charset val="1"/>
      </rPr>
      <t xml:space="preserve">10.5%</t>
    </r>
    <r>
      <rPr>
        <sz val="10"/>
        <rFont val="Noto Sans CJK SC"/>
        <family val="2"/>
      </rPr>
      <t xml:space="preserve">였다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지금은 </t>
    </r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안팎으로 두 배다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</si>
</sst>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EFF6FF"/>
        <bgColor rgb="FFFFFFFF"/>
      </patternFill>
    </fill>
    <fill>
      <patternFill patternType="solid">
        <fgColor rgb="FFFEE2E2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EFF6F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불법주정차 신고 건수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'월별 처리결과'!C1</c:f>
              <c:strCache>
                <c:ptCount val="1"/>
                <c:pt idx="0">
                  <c:v>불법주정차 신고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circle"/>
            <c:size val="7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'월별 처리결과'!$A$2:$A$16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  <c:pt idx="14">
                  <c:v>2026-04</c:v>
                </c:pt>
              </c:strCache>
            </c:strRef>
          </c:cat>
          <c:val>
            <c:numRef>
              <c:f>'월별 처리결과'!$C$2:$C$16</c:f>
              <c:numCache>
                <c:formatCode>#,##0</c:formatCode>
                <c:ptCount val="15"/>
                <c:pt idx="0">
                  <c:v>459485</c:v>
                </c:pt>
                <c:pt idx="1">
                  <c:v>418490</c:v>
                </c:pt>
                <c:pt idx="2">
                  <c:v>502772</c:v>
                </c:pt>
                <c:pt idx="3">
                  <c:v>495296</c:v>
                </c:pt>
                <c:pt idx="4">
                  <c:v>533422</c:v>
                </c:pt>
                <c:pt idx="5">
                  <c:v>507410</c:v>
                </c:pt>
                <c:pt idx="6">
                  <c:v>506164</c:v>
                </c:pt>
                <c:pt idx="7">
                  <c:v>533946</c:v>
                </c:pt>
                <c:pt idx="8">
                  <c:v>466305</c:v>
                </c:pt>
                <c:pt idx="9">
                  <c:v>516097</c:v>
                </c:pt>
                <c:pt idx="10">
                  <c:v>509665</c:v>
                </c:pt>
                <c:pt idx="11">
                  <c:v>495204</c:v>
                </c:pt>
                <c:pt idx="12">
                  <c:v>484344</c:v>
                </c:pt>
                <c:pt idx="13">
                  <c:v>569371</c:v>
                </c:pt>
                <c:pt idx="14">
                  <c:v>558384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902433"/>
        <c:axId val="97880531"/>
      </c:lineChart>
      <c:catAx>
        <c:axId val="54902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80531"/>
        <c:crosses val="autoZero"/>
        <c:auto val="1"/>
        <c:lblAlgn val="ctr"/>
        <c:lblOffset val="100"/>
        <c:noMultiLvlLbl val="0"/>
      </c:catAx>
      <c:valAx>
        <c:axId val="97880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02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불수용률 — 15개월 내내 20% 안팎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'월별 처리결과'!I1</c:f>
              <c:strCache>
                <c:ptCount val="1"/>
                <c:pt idx="0">
                  <c:v>불수용률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circle"/>
            <c:size val="7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'월별 처리결과'!$A$2:$A$16</c:f>
              <c:strCache>
                <c:ptCount val="15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  <c:pt idx="13">
                  <c:v>2026-03</c:v>
                </c:pt>
                <c:pt idx="14">
                  <c:v>2026-04</c:v>
                </c:pt>
              </c:strCache>
            </c:strRef>
          </c:cat>
          <c:val>
            <c:numRef>
              <c:f>'월별 처리결과'!$I$2:$I$16</c:f>
              <c:numCache>
                <c:formatCode>0.0%</c:formatCode>
                <c:ptCount val="15"/>
                <c:pt idx="0">
                  <c:v>0.198342944138449</c:v>
                </c:pt>
                <c:pt idx="1">
                  <c:v>0.195823738187625</c:v>
                </c:pt>
                <c:pt idx="2">
                  <c:v>0.200937580402382</c:v>
                </c:pt>
                <c:pt idx="3">
                  <c:v>0.202248744107362</c:v>
                </c:pt>
                <c:pt idx="4">
                  <c:v>0.208412284630431</c:v>
                </c:pt>
                <c:pt idx="5">
                  <c:v>0.208906923254623</c:v>
                </c:pt>
                <c:pt idx="6">
                  <c:v>0.206712116006325</c:v>
                </c:pt>
                <c:pt idx="7">
                  <c:v>0.213211506932129</c:v>
                </c:pt>
                <c:pt idx="8">
                  <c:v>0.21145742404034</c:v>
                </c:pt>
                <c:pt idx="9">
                  <c:v>0.214729604654238</c:v>
                </c:pt>
                <c:pt idx="10">
                  <c:v>0.207218800440058</c:v>
                </c:pt>
                <c:pt idx="11">
                  <c:v>0.201352742546533</c:v>
                </c:pt>
                <c:pt idx="12">
                  <c:v>0.208817235708344</c:v>
                </c:pt>
                <c:pt idx="13">
                  <c:v>0.207785542263808</c:v>
                </c:pt>
                <c:pt idx="14">
                  <c:v>0.214907406730467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289102"/>
        <c:axId val="4000923"/>
      </c:lineChart>
      <c:catAx>
        <c:axId val="58289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923"/>
        <c:crosses val="autoZero"/>
        <c:auto val="1"/>
        <c:lblAlgn val="ctr"/>
        <c:lblOffset val="100"/>
        <c:noMultiLvlLbl val="0"/>
      </c:catAx>
      <c:valAx>
        <c:axId val="4000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불수용률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9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4</xdr:row>
      <xdr:rowOff>0</xdr:rowOff>
    </xdr:from>
    <xdr:to>
      <xdr:col>27</xdr:col>
      <xdr:colOff>364680</xdr:colOff>
      <xdr:row>19</xdr:row>
      <xdr:rowOff>22320</xdr:rowOff>
    </xdr:to>
    <xdr:graphicFrame>
      <xdr:nvGraphicFramePr>
        <xdr:cNvPr id="0" name="Chart 1"/>
        <xdr:cNvGraphicFramePr/>
      </xdr:nvGraphicFramePr>
      <xdr:xfrm>
        <a:off x="11959560" y="952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22</xdr:row>
      <xdr:rowOff>0</xdr:rowOff>
    </xdr:from>
    <xdr:to>
      <xdr:col>27</xdr:col>
      <xdr:colOff>364680</xdr:colOff>
      <xdr:row>37</xdr:row>
      <xdr:rowOff>22320</xdr:rowOff>
    </xdr:to>
    <xdr:graphicFrame>
      <xdr:nvGraphicFramePr>
        <xdr:cNvPr id="1" name="Chart 2"/>
        <xdr:cNvGraphicFramePr/>
      </xdr:nvGraphicFramePr>
      <xdr:xfrm>
        <a:off x="1195956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6" min="15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16</v>
      </c>
    </row>
    <row r="2" customFormat="false" ht="15" hidden="false" customHeight="false" outlineLevel="0" collapsed="false">
      <c r="A2" s="3" t="s">
        <v>17</v>
      </c>
      <c r="B2" s="4" t="n">
        <v>898367</v>
      </c>
      <c r="C2" s="4" t="n">
        <v>459485</v>
      </c>
      <c r="D2" s="5" t="n">
        <f aca="false">C2/B2</f>
        <v>0.511466917195311</v>
      </c>
      <c r="E2" s="6" t="n">
        <f aca="false">C2-O2-P2</f>
        <v>448627</v>
      </c>
      <c r="F2" s="4" t="n">
        <v>359152</v>
      </c>
      <c r="G2" s="7" t="n">
        <f aca="false">F2/E2</f>
        <v>0.800558147414222</v>
      </c>
      <c r="H2" s="8" t="n">
        <v>88982</v>
      </c>
      <c r="I2" s="7" t="n">
        <f aca="false">H2/E2</f>
        <v>0.198342944138449</v>
      </c>
      <c r="J2" s="4" t="n">
        <v>339795</v>
      </c>
      <c r="K2" s="4" t="n">
        <v>19012</v>
      </c>
      <c r="L2" s="4" t="n">
        <v>345</v>
      </c>
      <c r="M2" s="4" t="n">
        <v>233</v>
      </c>
      <c r="N2" s="4" t="n">
        <v>260</v>
      </c>
      <c r="O2" s="4" t="n">
        <v>6228</v>
      </c>
      <c r="P2" s="4" t="n">
        <v>4630</v>
      </c>
      <c r="R2" s="9" t="s">
        <v>18</v>
      </c>
    </row>
    <row r="3" customFormat="false" ht="15" hidden="false" customHeight="false" outlineLevel="0" collapsed="false">
      <c r="A3" s="3" t="s">
        <v>19</v>
      </c>
      <c r="B3" s="4" t="n">
        <v>865758</v>
      </c>
      <c r="C3" s="4" t="n">
        <v>418490</v>
      </c>
      <c r="D3" s="5" t="n">
        <f aca="false">C3/B3</f>
        <v>0.483379882137965</v>
      </c>
      <c r="E3" s="6" t="n">
        <f aca="false">C3-O3-P3</f>
        <v>410798</v>
      </c>
      <c r="F3" s="4" t="n">
        <v>329740</v>
      </c>
      <c r="G3" s="7" t="n">
        <f aca="false">F3/E3</f>
        <v>0.802681609939678</v>
      </c>
      <c r="H3" s="8" t="n">
        <v>80444</v>
      </c>
      <c r="I3" s="7" t="n">
        <f aca="false">H3/E3</f>
        <v>0.195823738187625</v>
      </c>
      <c r="J3" s="4" t="n">
        <v>312545</v>
      </c>
      <c r="K3" s="4" t="n">
        <v>16873</v>
      </c>
      <c r="L3" s="4" t="n">
        <v>322</v>
      </c>
      <c r="M3" s="4" t="n">
        <v>195</v>
      </c>
      <c r="N3" s="4" t="n">
        <v>419</v>
      </c>
      <c r="O3" s="4" t="n">
        <v>5452</v>
      </c>
      <c r="P3" s="4" t="n">
        <v>2240</v>
      </c>
      <c r="R3" s="9" t="s">
        <v>20</v>
      </c>
    </row>
    <row r="4" customFormat="false" ht="15" hidden="false" customHeight="false" outlineLevel="0" collapsed="false">
      <c r="A4" s="3" t="s">
        <v>21</v>
      </c>
      <c r="B4" s="4" t="n">
        <v>1117882</v>
      </c>
      <c r="C4" s="4" t="n">
        <v>502772</v>
      </c>
      <c r="D4" s="5" t="n">
        <f aca="false">C4/B4</f>
        <v>0.449754088535284</v>
      </c>
      <c r="E4" s="6" t="n">
        <f aca="false">C4-O4-P4</f>
        <v>493611</v>
      </c>
      <c r="F4" s="4" t="n">
        <v>393775</v>
      </c>
      <c r="G4" s="7" t="n">
        <f aca="false">F4/E4</f>
        <v>0.797743567302998</v>
      </c>
      <c r="H4" s="8" t="n">
        <v>99185</v>
      </c>
      <c r="I4" s="7" t="n">
        <f aca="false">H4/E4</f>
        <v>0.200937580402382</v>
      </c>
      <c r="J4" s="4" t="n">
        <v>372869</v>
      </c>
      <c r="K4" s="4" t="n">
        <v>20657</v>
      </c>
      <c r="L4" s="4" t="n">
        <v>249</v>
      </c>
      <c r="M4" s="4" t="n">
        <v>227</v>
      </c>
      <c r="N4" s="4" t="n">
        <v>424</v>
      </c>
      <c r="O4" s="4" t="n">
        <v>6779</v>
      </c>
      <c r="P4" s="4" t="n">
        <v>2382</v>
      </c>
    </row>
    <row r="5" customFormat="false" ht="15" hidden="false" customHeight="false" outlineLevel="0" collapsed="false">
      <c r="A5" s="3" t="s">
        <v>22</v>
      </c>
      <c r="B5" s="4" t="n">
        <v>1165112</v>
      </c>
      <c r="C5" s="4" t="n">
        <v>495296</v>
      </c>
      <c r="D5" s="5" t="n">
        <f aca="false">C5/B5</f>
        <v>0.425105912564629</v>
      </c>
      <c r="E5" s="6" t="n">
        <f aca="false">C5-O5-P5</f>
        <v>484715</v>
      </c>
      <c r="F5" s="4" t="n">
        <v>385986</v>
      </c>
      <c r="G5" s="7" t="n">
        <f aca="false">F5/E5</f>
        <v>0.796315360572708</v>
      </c>
      <c r="H5" s="8" t="n">
        <v>98033</v>
      </c>
      <c r="I5" s="7" t="n">
        <f aca="false">H5/E5</f>
        <v>0.202248744107362</v>
      </c>
      <c r="J5" s="4" t="n">
        <v>365314</v>
      </c>
      <c r="K5" s="4" t="n">
        <v>20305</v>
      </c>
      <c r="L5" s="4" t="n">
        <v>367</v>
      </c>
      <c r="M5" s="4" t="n">
        <v>326</v>
      </c>
      <c r="N5" s="4" t="n">
        <v>370</v>
      </c>
      <c r="O5" s="4" t="n">
        <v>6887</v>
      </c>
      <c r="P5" s="4" t="n">
        <v>3694</v>
      </c>
    </row>
    <row r="6" customFormat="false" ht="15" hidden="false" customHeight="false" outlineLevel="0" collapsed="false">
      <c r="A6" s="3" t="s">
        <v>23</v>
      </c>
      <c r="B6" s="4" t="n">
        <v>1220814</v>
      </c>
      <c r="C6" s="4" t="n">
        <v>533422</v>
      </c>
      <c r="D6" s="5" t="n">
        <f aca="false">C6/B6</f>
        <v>0.436939615699034</v>
      </c>
      <c r="E6" s="6" t="n">
        <f aca="false">C6-O6-P6</f>
        <v>522474</v>
      </c>
      <c r="F6" s="4" t="n">
        <v>412933</v>
      </c>
      <c r="G6" s="7" t="n">
        <f aca="false">F6/E6</f>
        <v>0.790341720353549</v>
      </c>
      <c r="H6" s="8" t="n">
        <v>108890</v>
      </c>
      <c r="I6" s="7" t="n">
        <f aca="false">H6/E6</f>
        <v>0.208412284630431</v>
      </c>
      <c r="J6" s="4" t="n">
        <v>388431</v>
      </c>
      <c r="K6" s="4" t="n">
        <v>24099</v>
      </c>
      <c r="L6" s="4" t="n">
        <v>403</v>
      </c>
      <c r="M6" s="4" t="n">
        <v>227</v>
      </c>
      <c r="N6" s="4" t="n">
        <v>424</v>
      </c>
      <c r="O6" s="4" t="n">
        <v>7139</v>
      </c>
      <c r="P6" s="4" t="n">
        <v>3809</v>
      </c>
    </row>
    <row r="7" customFormat="false" ht="15" hidden="false" customHeight="false" outlineLevel="0" collapsed="false">
      <c r="A7" s="3" t="s">
        <v>24</v>
      </c>
      <c r="B7" s="4" t="n">
        <v>1204969</v>
      </c>
      <c r="C7" s="4" t="n">
        <v>507410</v>
      </c>
      <c r="D7" s="5" t="n">
        <f aca="false">C7/B7</f>
        <v>0.421097970155249</v>
      </c>
      <c r="E7" s="6" t="n">
        <f aca="false">C7-O7-P7</f>
        <v>497815</v>
      </c>
      <c r="F7" s="4" t="n">
        <v>392911</v>
      </c>
      <c r="G7" s="7" t="n">
        <f aca="false">F7/E7</f>
        <v>0.789271114771552</v>
      </c>
      <c r="H7" s="8" t="n">
        <v>103997</v>
      </c>
      <c r="I7" s="7" t="n">
        <f aca="false">H7/E7</f>
        <v>0.208906923254623</v>
      </c>
      <c r="J7" s="4" t="n">
        <v>370703</v>
      </c>
      <c r="K7" s="4" t="n">
        <v>21926</v>
      </c>
      <c r="L7" s="4" t="n">
        <v>282</v>
      </c>
      <c r="M7" s="4" t="n">
        <v>395</v>
      </c>
      <c r="N7" s="4" t="n">
        <v>512</v>
      </c>
      <c r="O7" s="4" t="n">
        <v>8003</v>
      </c>
      <c r="P7" s="4" t="n">
        <v>1592</v>
      </c>
    </row>
    <row r="8" customFormat="false" ht="15" hidden="false" customHeight="false" outlineLevel="0" collapsed="false">
      <c r="A8" s="3" t="s">
        <v>25</v>
      </c>
      <c r="B8" s="4" t="n">
        <v>1254371</v>
      </c>
      <c r="C8" s="4" t="n">
        <v>506164</v>
      </c>
      <c r="D8" s="5" t="n">
        <f aca="false">C8/B8</f>
        <v>0.403520170667211</v>
      </c>
      <c r="E8" s="6" t="n">
        <f aca="false">C8-O8-P8</f>
        <v>497697</v>
      </c>
      <c r="F8" s="4" t="n">
        <v>394084</v>
      </c>
      <c r="G8" s="7" t="n">
        <f aca="false">F8/E8</f>
        <v>0.791815100352222</v>
      </c>
      <c r="H8" s="8" t="n">
        <v>102880</v>
      </c>
      <c r="I8" s="7" t="n">
        <f aca="false">H8/E8</f>
        <v>0.206712116006325</v>
      </c>
      <c r="J8" s="4" t="n">
        <v>372496</v>
      </c>
      <c r="K8" s="4" t="n">
        <v>21377</v>
      </c>
      <c r="L8" s="4" t="n">
        <v>211</v>
      </c>
      <c r="M8" s="4" t="n">
        <v>249</v>
      </c>
      <c r="N8" s="4" t="n">
        <v>484</v>
      </c>
      <c r="O8" s="4" t="n">
        <v>7016</v>
      </c>
      <c r="P8" s="4" t="n">
        <v>1451</v>
      </c>
    </row>
    <row r="9" customFormat="false" ht="15" hidden="false" customHeight="false" outlineLevel="0" collapsed="false">
      <c r="A9" s="3" t="s">
        <v>26</v>
      </c>
      <c r="B9" s="4" t="n">
        <v>1264976</v>
      </c>
      <c r="C9" s="4" t="n">
        <v>533946</v>
      </c>
      <c r="D9" s="5" t="n">
        <f aca="false">C9/B9</f>
        <v>0.422099707820544</v>
      </c>
      <c r="E9" s="6" t="n">
        <f aca="false">C9-O9-P9</f>
        <v>522711</v>
      </c>
      <c r="F9" s="4" t="n">
        <v>410465</v>
      </c>
      <c r="G9" s="7" t="n">
        <f aca="false">F9/E9</f>
        <v>0.785261836846747</v>
      </c>
      <c r="H9" s="8" t="n">
        <v>111448</v>
      </c>
      <c r="I9" s="7" t="n">
        <f aca="false">H9/E9</f>
        <v>0.213211506932129</v>
      </c>
      <c r="J9" s="4" t="n">
        <v>386920</v>
      </c>
      <c r="K9" s="4" t="n">
        <v>23357</v>
      </c>
      <c r="L9" s="4" t="n">
        <v>188</v>
      </c>
      <c r="M9" s="4" t="n">
        <v>279</v>
      </c>
      <c r="N9" s="4" t="n">
        <v>519</v>
      </c>
      <c r="O9" s="4" t="n">
        <v>7434</v>
      </c>
      <c r="P9" s="4" t="n">
        <v>3801</v>
      </c>
    </row>
    <row r="10" customFormat="false" ht="15" hidden="false" customHeight="false" outlineLevel="0" collapsed="false">
      <c r="A10" s="3" t="s">
        <v>27</v>
      </c>
      <c r="B10" s="4" t="n">
        <v>1167306</v>
      </c>
      <c r="C10" s="4" t="n">
        <v>466305</v>
      </c>
      <c r="D10" s="5" t="n">
        <f aca="false">C10/B10</f>
        <v>0.399471089842766</v>
      </c>
      <c r="E10" s="6" t="n">
        <f aca="false">C10-O10-P10</f>
        <v>451358</v>
      </c>
      <c r="F10" s="4" t="n">
        <v>355276</v>
      </c>
      <c r="G10" s="7" t="n">
        <f aca="false">F10/E10</f>
        <v>0.787126848311097</v>
      </c>
      <c r="H10" s="8" t="n">
        <v>95443</v>
      </c>
      <c r="I10" s="7" t="n">
        <f aca="false">H10/E10</f>
        <v>0.21145742404034</v>
      </c>
      <c r="J10" s="4" t="n">
        <v>336135</v>
      </c>
      <c r="K10" s="4" t="n">
        <v>18946</v>
      </c>
      <c r="L10" s="4" t="n">
        <v>195</v>
      </c>
      <c r="M10" s="4" t="n">
        <v>239</v>
      </c>
      <c r="N10" s="4" t="n">
        <v>400</v>
      </c>
      <c r="O10" s="4" t="n">
        <v>6417</v>
      </c>
      <c r="P10" s="4" t="n">
        <v>8530</v>
      </c>
    </row>
    <row r="11" customFormat="false" ht="15" hidden="false" customHeight="false" outlineLevel="0" collapsed="false">
      <c r="A11" s="3" t="s">
        <v>28</v>
      </c>
      <c r="B11" s="4" t="n">
        <v>1272275</v>
      </c>
      <c r="C11" s="4" t="n">
        <v>516097</v>
      </c>
      <c r="D11" s="5" t="n">
        <f aca="false">C11/B11</f>
        <v>0.405648935961172</v>
      </c>
      <c r="E11" s="6" t="n">
        <f aca="false">C11-O11-P11</f>
        <v>499158</v>
      </c>
      <c r="F11" s="4" t="n">
        <v>391215</v>
      </c>
      <c r="G11" s="7" t="n">
        <f aca="false">F11/E11</f>
        <v>0.783749834721671</v>
      </c>
      <c r="H11" s="8" t="n">
        <v>107184</v>
      </c>
      <c r="I11" s="7" t="n">
        <f aca="false">H11/E11</f>
        <v>0.214729604654238</v>
      </c>
      <c r="J11" s="4" t="n">
        <v>370326</v>
      </c>
      <c r="K11" s="4" t="n">
        <v>20768</v>
      </c>
      <c r="L11" s="4" t="n">
        <v>121</v>
      </c>
      <c r="M11" s="4" t="n">
        <v>340</v>
      </c>
      <c r="N11" s="4" t="n">
        <v>419</v>
      </c>
      <c r="O11" s="4" t="n">
        <v>7635</v>
      </c>
      <c r="P11" s="4" t="n">
        <v>9304</v>
      </c>
    </row>
    <row r="12" customFormat="false" ht="15" hidden="false" customHeight="false" outlineLevel="0" collapsed="false">
      <c r="A12" s="3" t="s">
        <v>29</v>
      </c>
      <c r="B12" s="4" t="n">
        <v>1128754</v>
      </c>
      <c r="C12" s="4" t="n">
        <v>509665</v>
      </c>
      <c r="D12" s="5" t="n">
        <f aca="false">C12/B12</f>
        <v>0.451528853939831</v>
      </c>
      <c r="E12" s="6" t="n">
        <f aca="false">C12-O12-P12</f>
        <v>498116</v>
      </c>
      <c r="F12" s="4" t="n">
        <v>394323</v>
      </c>
      <c r="G12" s="7" t="n">
        <f aca="false">F12/E12</f>
        <v>0.791628857535193</v>
      </c>
      <c r="H12" s="8" t="n">
        <v>103219</v>
      </c>
      <c r="I12" s="7" t="n">
        <f aca="false">H12/E12</f>
        <v>0.207218800440058</v>
      </c>
      <c r="J12" s="4" t="n">
        <v>373770</v>
      </c>
      <c r="K12" s="4" t="n">
        <v>20415</v>
      </c>
      <c r="L12" s="4" t="n">
        <v>138</v>
      </c>
      <c r="M12" s="4" t="n">
        <v>189</v>
      </c>
      <c r="N12" s="4" t="n">
        <v>385</v>
      </c>
      <c r="O12" s="4" t="n">
        <v>6796</v>
      </c>
      <c r="P12" s="4" t="n">
        <v>4753</v>
      </c>
    </row>
    <row r="13" customFormat="false" ht="15" hidden="false" customHeight="false" outlineLevel="0" collapsed="false">
      <c r="A13" s="3" t="s">
        <v>30</v>
      </c>
      <c r="B13" s="4" t="n">
        <v>1081656</v>
      </c>
      <c r="C13" s="4" t="n">
        <v>495204</v>
      </c>
      <c r="D13" s="5" t="n">
        <f aca="false">C13/B13</f>
        <v>0.457820231201047</v>
      </c>
      <c r="E13" s="6" t="n">
        <f aca="false">C13-O13-P13</f>
        <v>485680</v>
      </c>
      <c r="F13" s="4" t="n">
        <v>387268</v>
      </c>
      <c r="G13" s="7" t="n">
        <f aca="false">F13/E13</f>
        <v>0.797372755723933</v>
      </c>
      <c r="H13" s="8" t="n">
        <v>97793</v>
      </c>
      <c r="I13" s="7" t="n">
        <f aca="false">H13/E13</f>
        <v>0.201352742546533</v>
      </c>
      <c r="J13" s="4" t="n">
        <v>367749</v>
      </c>
      <c r="K13" s="4" t="n">
        <v>19396</v>
      </c>
      <c r="L13" s="4" t="n">
        <v>123</v>
      </c>
      <c r="M13" s="4" t="n">
        <v>215</v>
      </c>
      <c r="N13" s="4" t="n">
        <v>404</v>
      </c>
      <c r="O13" s="4" t="n">
        <v>6713</v>
      </c>
      <c r="P13" s="4" t="n">
        <v>2811</v>
      </c>
    </row>
    <row r="14" customFormat="false" ht="15" hidden="false" customHeight="false" outlineLevel="0" collapsed="false">
      <c r="A14" s="3" t="s">
        <v>31</v>
      </c>
      <c r="B14" s="4" t="n">
        <v>1053390</v>
      </c>
      <c r="C14" s="4" t="n">
        <v>484344</v>
      </c>
      <c r="D14" s="5" t="n">
        <f aca="false">C14/B14</f>
        <v>0.459795517329764</v>
      </c>
      <c r="E14" s="6" t="n">
        <f aca="false">C14-O14-P14</f>
        <v>472461</v>
      </c>
      <c r="F14" s="4" t="n">
        <v>373217</v>
      </c>
      <c r="G14" s="7" t="n">
        <f aca="false">F14/E14</f>
        <v>0.789942450276319</v>
      </c>
      <c r="H14" s="8" t="n">
        <v>98658</v>
      </c>
      <c r="I14" s="7" t="n">
        <f aca="false">H14/E14</f>
        <v>0.208817235708344</v>
      </c>
      <c r="J14" s="4" t="n">
        <v>353996</v>
      </c>
      <c r="K14" s="4" t="n">
        <v>19049</v>
      </c>
      <c r="L14" s="4" t="n">
        <v>172</v>
      </c>
      <c r="M14" s="4" t="n">
        <v>187</v>
      </c>
      <c r="N14" s="4" t="n">
        <v>399</v>
      </c>
      <c r="O14" s="4" t="n">
        <v>6642</v>
      </c>
      <c r="P14" s="4" t="n">
        <v>5241</v>
      </c>
    </row>
    <row r="15" customFormat="false" ht="15" hidden="false" customHeight="false" outlineLevel="0" collapsed="false">
      <c r="A15" s="3" t="s">
        <v>32</v>
      </c>
      <c r="B15" s="4" t="n">
        <v>1314002</v>
      </c>
      <c r="C15" s="4" t="n">
        <v>569371</v>
      </c>
      <c r="D15" s="5" t="n">
        <f aca="false">C15/B15</f>
        <v>0.433310603789035</v>
      </c>
      <c r="E15" s="6" t="n">
        <f aca="false">C15-O15-P15</f>
        <v>557238</v>
      </c>
      <c r="F15" s="4" t="n">
        <v>440709</v>
      </c>
      <c r="G15" s="7" t="n">
        <f aca="false">F15/E15</f>
        <v>0.790881095689813</v>
      </c>
      <c r="H15" s="8" t="n">
        <v>115786</v>
      </c>
      <c r="I15" s="7" t="n">
        <f aca="false">H15/E15</f>
        <v>0.207785542263808</v>
      </c>
      <c r="J15" s="4" t="n">
        <v>417448</v>
      </c>
      <c r="K15" s="4" t="n">
        <v>23125</v>
      </c>
      <c r="L15" s="4" t="n">
        <v>136</v>
      </c>
      <c r="M15" s="4" t="n">
        <v>258</v>
      </c>
      <c r="N15" s="4" t="n">
        <v>485</v>
      </c>
      <c r="O15" s="4" t="n">
        <v>8284</v>
      </c>
      <c r="P15" s="4" t="n">
        <v>3849</v>
      </c>
    </row>
    <row r="16" customFormat="false" ht="15" hidden="false" customHeight="false" outlineLevel="0" collapsed="false">
      <c r="A16" s="3" t="s">
        <v>33</v>
      </c>
      <c r="B16" s="4" t="n">
        <v>1367059</v>
      </c>
      <c r="C16" s="4" t="n">
        <v>558384</v>
      </c>
      <c r="D16" s="5" t="n">
        <f aca="false">C16/B16</f>
        <v>0.408456401662255</v>
      </c>
      <c r="E16" s="6" t="n">
        <f aca="false">C16-O16-P16</f>
        <v>547124</v>
      </c>
      <c r="F16" s="4" t="n">
        <v>428696</v>
      </c>
      <c r="G16" s="7" t="n">
        <f aca="false">F16/E16</f>
        <v>0.783544498139361</v>
      </c>
      <c r="H16" s="8" t="n">
        <v>117581</v>
      </c>
      <c r="I16" s="7" t="n">
        <f aca="false">H16/E16</f>
        <v>0.214907406730467</v>
      </c>
      <c r="J16" s="4" t="n">
        <v>405783</v>
      </c>
      <c r="K16" s="4" t="n">
        <v>22758</v>
      </c>
      <c r="L16" s="4" t="n">
        <v>155</v>
      </c>
      <c r="M16" s="4" t="n">
        <v>364</v>
      </c>
      <c r="N16" s="4" t="n">
        <v>483</v>
      </c>
      <c r="O16" s="4" t="n">
        <v>7545</v>
      </c>
      <c r="P16" s="4" t="n">
        <v>3715</v>
      </c>
    </row>
    <row r="17" customFormat="false" ht="15" hidden="false" customHeight="false" outlineLevel="0" collapsed="false">
      <c r="A17" s="10" t="s">
        <v>34</v>
      </c>
      <c r="B17" s="11" t="n">
        <f aca="false">SUM(B2:B16)</f>
        <v>17376691</v>
      </c>
      <c r="C17" s="11" t="n">
        <f aca="false">SUM(C2:C16)</f>
        <v>7556355</v>
      </c>
      <c r="D17" s="12" t="n">
        <f aca="false">C17/B17</f>
        <v>0.434855807702399</v>
      </c>
      <c r="E17" s="11" t="n">
        <f aca="false">SUM(E2:E16)</f>
        <v>7389583</v>
      </c>
      <c r="F17" s="11" t="n">
        <f aca="false">SUM(F2:F16)</f>
        <v>5849750</v>
      </c>
      <c r="G17" s="12" t="n">
        <f aca="false">F17/E17</f>
        <v>0.791621123952461</v>
      </c>
      <c r="H17" s="11" t="n">
        <f aca="false">SUM(H2:H16)</f>
        <v>1529523</v>
      </c>
      <c r="I17" s="12" t="n">
        <f aca="false">H17/E17</f>
        <v>0.206983668767236</v>
      </c>
      <c r="J17" s="11" t="n">
        <f aca="false">SUM(J2:J16)</f>
        <v>5534280</v>
      </c>
      <c r="K17" s="11" t="n">
        <f aca="false">SUM(K2:K16)</f>
        <v>312063</v>
      </c>
      <c r="L17" s="11" t="n">
        <f aca="false">SUM(L2:L16)</f>
        <v>3407</v>
      </c>
      <c r="M17" s="11" t="n">
        <f aca="false">SUM(M2:M16)</f>
        <v>3923</v>
      </c>
      <c r="N17" s="11" t="n">
        <f aca="false">SUM(N2:N16)</f>
        <v>6387</v>
      </c>
      <c r="O17" s="11" t="n">
        <f aca="false">SUM(O2:O16)</f>
        <v>104970</v>
      </c>
      <c r="P17" s="11" t="n">
        <f aca="false">SUM(P2:P16)</f>
        <v>61802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7" min="17" style="0" width="22"/>
    <col collapsed="false" customWidth="true" hidden="false" outlineLevel="0" max="18" min="18" style="0" width="38"/>
  </cols>
  <sheetData>
    <row r="1" customFormat="false" ht="30" hidden="false" customHeight="true" outlineLevel="0" collapsed="false">
      <c r="A1" s="1" t="s">
        <v>0</v>
      </c>
      <c r="B1" s="1" t="s">
        <v>2</v>
      </c>
      <c r="C1" s="13" t="s">
        <v>35</v>
      </c>
      <c r="D1" s="13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13</v>
      </c>
      <c r="Q1" s="14" t="s">
        <v>47</v>
      </c>
    </row>
    <row r="2" customFormat="false" ht="15" hidden="false" customHeight="false" outlineLevel="0" collapsed="false">
      <c r="A2" s="3" t="s">
        <v>17</v>
      </c>
      <c r="B2" s="4" t="n">
        <v>459485</v>
      </c>
      <c r="C2" s="4" t="n">
        <v>295060</v>
      </c>
      <c r="D2" s="7" t="n">
        <f aca="false">C2/B2</f>
        <v>0.64215371557287</v>
      </c>
      <c r="E2" s="4" t="n">
        <v>37389</v>
      </c>
      <c r="F2" s="4" t="n">
        <v>73074</v>
      </c>
      <c r="G2" s="4" t="n">
        <v>14941</v>
      </c>
      <c r="H2" s="4" t="n">
        <v>96318</v>
      </c>
      <c r="I2" s="4" t="n">
        <v>5289</v>
      </c>
      <c r="J2" s="4" t="n">
        <v>68049</v>
      </c>
      <c r="K2" s="4" t="n">
        <v>164425</v>
      </c>
      <c r="L2" s="4" t="n">
        <v>61133</v>
      </c>
      <c r="M2" s="4" t="n">
        <v>1252</v>
      </c>
      <c r="N2" s="4" t="n">
        <v>43480</v>
      </c>
      <c r="O2" s="4" t="n">
        <v>58560</v>
      </c>
      <c r="Q2" s="2" t="s">
        <v>40</v>
      </c>
      <c r="R2" s="2" t="s">
        <v>48</v>
      </c>
    </row>
    <row r="3" customFormat="false" ht="15" hidden="false" customHeight="false" outlineLevel="0" collapsed="false">
      <c r="A3" s="3" t="s">
        <v>19</v>
      </c>
      <c r="B3" s="4" t="n">
        <v>418490</v>
      </c>
      <c r="C3" s="4" t="n">
        <v>272214</v>
      </c>
      <c r="D3" s="7" t="n">
        <f aca="false">C3/B3</f>
        <v>0.650467155726541</v>
      </c>
      <c r="E3" s="4" t="n">
        <v>35603</v>
      </c>
      <c r="F3" s="4" t="n">
        <v>66985</v>
      </c>
      <c r="G3" s="4" t="n">
        <v>13340</v>
      </c>
      <c r="H3" s="4" t="n">
        <v>87595</v>
      </c>
      <c r="I3" s="4" t="n">
        <v>4894</v>
      </c>
      <c r="J3" s="4" t="n">
        <v>63797</v>
      </c>
      <c r="K3" s="4" t="n">
        <v>146276</v>
      </c>
      <c r="L3" s="4" t="n">
        <v>53503</v>
      </c>
      <c r="M3" s="4" t="n">
        <v>1125</v>
      </c>
      <c r="N3" s="4" t="n">
        <v>37160</v>
      </c>
      <c r="O3" s="4" t="n">
        <v>54488</v>
      </c>
      <c r="Q3" s="2" t="s">
        <v>41</v>
      </c>
      <c r="R3" s="2" t="s">
        <v>49</v>
      </c>
    </row>
    <row r="4" customFormat="false" ht="15" hidden="false" customHeight="false" outlineLevel="0" collapsed="false">
      <c r="A4" s="3" t="s">
        <v>21</v>
      </c>
      <c r="B4" s="4" t="n">
        <v>502772</v>
      </c>
      <c r="C4" s="4" t="n">
        <v>333451</v>
      </c>
      <c r="D4" s="7" t="n">
        <f aca="false">C4/B4</f>
        <v>0.663225080155617</v>
      </c>
      <c r="E4" s="4" t="n">
        <v>43214</v>
      </c>
      <c r="F4" s="4" t="n">
        <v>83134</v>
      </c>
      <c r="G4" s="4" t="n">
        <v>16072</v>
      </c>
      <c r="H4" s="4" t="n">
        <v>106021</v>
      </c>
      <c r="I4" s="4" t="n">
        <v>7664</v>
      </c>
      <c r="J4" s="4" t="n">
        <v>77346</v>
      </c>
      <c r="K4" s="4" t="n">
        <v>169321</v>
      </c>
      <c r="L4" s="4" t="n">
        <v>57563</v>
      </c>
      <c r="M4" s="4" t="n">
        <v>1758</v>
      </c>
      <c r="N4" s="4" t="n">
        <v>38165</v>
      </c>
      <c r="O4" s="4" t="n">
        <v>71835</v>
      </c>
      <c r="Q4" s="2" t="s">
        <v>39</v>
      </c>
      <c r="R4" s="2" t="s">
        <v>50</v>
      </c>
    </row>
    <row r="5" customFormat="false" ht="15" hidden="false" customHeight="false" outlineLevel="0" collapsed="false">
      <c r="A5" s="3" t="s">
        <v>22</v>
      </c>
      <c r="B5" s="4" t="n">
        <v>495296</v>
      </c>
      <c r="C5" s="4" t="n">
        <v>331047</v>
      </c>
      <c r="D5" s="7" t="n">
        <f aca="false">C5/B5</f>
        <v>0.668382139165267</v>
      </c>
      <c r="E5" s="4" t="n">
        <v>41461</v>
      </c>
      <c r="F5" s="4" t="n">
        <v>83377</v>
      </c>
      <c r="G5" s="4" t="n">
        <v>15341</v>
      </c>
      <c r="H5" s="4" t="n">
        <v>105866</v>
      </c>
      <c r="I5" s="4" t="n">
        <v>7995</v>
      </c>
      <c r="J5" s="4" t="n">
        <v>77007</v>
      </c>
      <c r="K5" s="4" t="n">
        <v>164249</v>
      </c>
      <c r="L5" s="4" t="n">
        <v>54293</v>
      </c>
      <c r="M5" s="4" t="n">
        <v>1923</v>
      </c>
      <c r="N5" s="4" t="n">
        <v>34964</v>
      </c>
      <c r="O5" s="4" t="n">
        <v>73069</v>
      </c>
      <c r="Q5" s="2" t="s">
        <v>37</v>
      </c>
      <c r="R5" s="2" t="s">
        <v>51</v>
      </c>
    </row>
    <row r="6" customFormat="false" ht="15" hidden="false" customHeight="false" outlineLevel="0" collapsed="false">
      <c r="A6" s="3" t="s">
        <v>23</v>
      </c>
      <c r="B6" s="4" t="n">
        <v>533422</v>
      </c>
      <c r="C6" s="4" t="n">
        <v>357982</v>
      </c>
      <c r="D6" s="7" t="n">
        <f aca="false">C6/B6</f>
        <v>0.671104678847142</v>
      </c>
      <c r="E6" s="4" t="n">
        <v>45294</v>
      </c>
      <c r="F6" s="4" t="n">
        <v>92035</v>
      </c>
      <c r="G6" s="4" t="n">
        <v>16787</v>
      </c>
      <c r="H6" s="4" t="n">
        <v>112793</v>
      </c>
      <c r="I6" s="4" t="n">
        <v>8268</v>
      </c>
      <c r="J6" s="4" t="n">
        <v>82805</v>
      </c>
      <c r="K6" s="4" t="n">
        <v>175440</v>
      </c>
      <c r="L6" s="4" t="n">
        <v>56048</v>
      </c>
      <c r="M6" s="4" t="n">
        <v>2154</v>
      </c>
      <c r="N6" s="4" t="n">
        <v>37213</v>
      </c>
      <c r="O6" s="4" t="n">
        <v>80025</v>
      </c>
      <c r="Q6" s="2" t="s">
        <v>38</v>
      </c>
      <c r="R6" s="2" t="s">
        <v>52</v>
      </c>
    </row>
    <row r="7" customFormat="false" ht="15" hidden="false" customHeight="false" outlineLevel="0" collapsed="false">
      <c r="A7" s="3" t="s">
        <v>24</v>
      </c>
      <c r="B7" s="4" t="n">
        <v>507410</v>
      </c>
      <c r="C7" s="4" t="n">
        <v>342452</v>
      </c>
      <c r="D7" s="7" t="n">
        <f aca="false">C7/B7</f>
        <v>0.674901953055714</v>
      </c>
      <c r="E7" s="4" t="n">
        <v>43489</v>
      </c>
      <c r="F7" s="4" t="n">
        <v>91060</v>
      </c>
      <c r="G7" s="4" t="n">
        <v>15680</v>
      </c>
      <c r="H7" s="4" t="n">
        <v>106153</v>
      </c>
      <c r="I7" s="4" t="n">
        <v>7516</v>
      </c>
      <c r="J7" s="4" t="n">
        <v>78554</v>
      </c>
      <c r="K7" s="4" t="n">
        <v>164958</v>
      </c>
      <c r="L7" s="4" t="n">
        <v>51494</v>
      </c>
      <c r="M7" s="4" t="n">
        <v>2121</v>
      </c>
      <c r="N7" s="4" t="n">
        <v>35120</v>
      </c>
      <c r="O7" s="4" t="n">
        <v>76223</v>
      </c>
      <c r="Q7" s="2" t="s">
        <v>42</v>
      </c>
      <c r="R7" s="2" t="s">
        <v>53</v>
      </c>
    </row>
    <row r="8" customFormat="false" ht="15" hidden="false" customHeight="false" outlineLevel="0" collapsed="false">
      <c r="A8" s="3" t="s">
        <v>25</v>
      </c>
      <c r="B8" s="4" t="n">
        <v>506164</v>
      </c>
      <c r="C8" s="4" t="n">
        <v>342263</v>
      </c>
      <c r="D8" s="7" t="n">
        <f aca="false">C8/B8</f>
        <v>0.676189930536348</v>
      </c>
      <c r="E8" s="4" t="n">
        <v>42910</v>
      </c>
      <c r="F8" s="4" t="n">
        <v>91618</v>
      </c>
      <c r="G8" s="4" t="n">
        <v>15592</v>
      </c>
      <c r="H8" s="4" t="n">
        <v>106037</v>
      </c>
      <c r="I8" s="4" t="n">
        <v>7489</v>
      </c>
      <c r="J8" s="4" t="n">
        <v>78617</v>
      </c>
      <c r="K8" s="4" t="n">
        <v>163901</v>
      </c>
      <c r="L8" s="4" t="n">
        <v>51479</v>
      </c>
      <c r="M8" s="4" t="n">
        <v>1742</v>
      </c>
      <c r="N8" s="4" t="n">
        <v>34776</v>
      </c>
      <c r="O8" s="4" t="n">
        <v>75904</v>
      </c>
      <c r="Q8" s="2" t="s">
        <v>54</v>
      </c>
      <c r="R8" s="2" t="s">
        <v>55</v>
      </c>
    </row>
    <row r="9" customFormat="false" ht="15" hidden="false" customHeight="false" outlineLevel="0" collapsed="false">
      <c r="A9" s="3" t="s">
        <v>26</v>
      </c>
      <c r="B9" s="4" t="n">
        <v>533946</v>
      </c>
      <c r="C9" s="4" t="n">
        <v>360814</v>
      </c>
      <c r="D9" s="7" t="n">
        <f aca="false">C9/B9</f>
        <v>0.675749982207939</v>
      </c>
      <c r="E9" s="4" t="n">
        <v>44196</v>
      </c>
      <c r="F9" s="4" t="n">
        <v>96295</v>
      </c>
      <c r="G9" s="4" t="n">
        <v>16430</v>
      </c>
      <c r="H9" s="4" t="n">
        <v>114948</v>
      </c>
      <c r="I9" s="4" t="n">
        <v>7315</v>
      </c>
      <c r="J9" s="4" t="n">
        <v>81630</v>
      </c>
      <c r="K9" s="4" t="n">
        <v>173132</v>
      </c>
      <c r="L9" s="4" t="n">
        <v>56420</v>
      </c>
      <c r="M9" s="4" t="n">
        <v>2077</v>
      </c>
      <c r="N9" s="4" t="n">
        <v>36509</v>
      </c>
      <c r="O9" s="4" t="n">
        <v>78126</v>
      </c>
    </row>
    <row r="10" customFormat="false" ht="15" hidden="false" customHeight="false" outlineLevel="0" collapsed="false">
      <c r="A10" s="3" t="s">
        <v>27</v>
      </c>
      <c r="B10" s="4" t="n">
        <v>466305</v>
      </c>
      <c r="C10" s="4" t="n">
        <v>314868</v>
      </c>
      <c r="D10" s="7" t="n">
        <f aca="false">C10/B10</f>
        <v>0.675240454209155</v>
      </c>
      <c r="E10" s="4" t="n">
        <v>38852</v>
      </c>
      <c r="F10" s="4" t="n">
        <v>83618</v>
      </c>
      <c r="G10" s="4" t="n">
        <v>13928</v>
      </c>
      <c r="H10" s="4" t="n">
        <v>99515</v>
      </c>
      <c r="I10" s="4" t="n">
        <v>7063</v>
      </c>
      <c r="J10" s="4" t="n">
        <v>71892</v>
      </c>
      <c r="K10" s="4" t="n">
        <v>151437</v>
      </c>
      <c r="L10" s="4" t="n">
        <v>48134</v>
      </c>
      <c r="M10" s="4" t="n">
        <v>1923</v>
      </c>
      <c r="N10" s="4" t="n">
        <v>32766</v>
      </c>
      <c r="O10" s="4" t="n">
        <v>68614</v>
      </c>
    </row>
    <row r="11" customFormat="false" ht="15" hidden="false" customHeight="false" outlineLevel="0" collapsed="false">
      <c r="A11" s="3" t="s">
        <v>28</v>
      </c>
      <c r="B11" s="4" t="n">
        <v>516097</v>
      </c>
      <c r="C11" s="4" t="n">
        <v>342310</v>
      </c>
      <c r="D11" s="7" t="n">
        <f aca="false">C11/B11</f>
        <v>0.663266788995092</v>
      </c>
      <c r="E11" s="4" t="n">
        <v>44415</v>
      </c>
      <c r="F11" s="4" t="n">
        <v>89282</v>
      </c>
      <c r="G11" s="4" t="n">
        <v>14629</v>
      </c>
      <c r="H11" s="4" t="n">
        <v>107305</v>
      </c>
      <c r="I11" s="4" t="n">
        <v>7544</v>
      </c>
      <c r="J11" s="4" t="n">
        <v>79135</v>
      </c>
      <c r="K11" s="4" t="n">
        <v>173787</v>
      </c>
      <c r="L11" s="4" t="n">
        <v>54679</v>
      </c>
      <c r="M11" s="4" t="n">
        <v>1956</v>
      </c>
      <c r="N11" s="4" t="n">
        <v>39539</v>
      </c>
      <c r="O11" s="4" t="n">
        <v>77613</v>
      </c>
    </row>
    <row r="12" customFormat="false" ht="15" hidden="false" customHeight="false" outlineLevel="0" collapsed="false">
      <c r="A12" s="3" t="s">
        <v>29</v>
      </c>
      <c r="B12" s="4" t="n">
        <v>509665</v>
      </c>
      <c r="C12" s="4" t="n">
        <v>337707</v>
      </c>
      <c r="D12" s="7" t="n">
        <f aca="false">C12/B12</f>
        <v>0.662605829319259</v>
      </c>
      <c r="E12" s="4" t="n">
        <v>43581</v>
      </c>
      <c r="F12" s="4" t="n">
        <v>87963</v>
      </c>
      <c r="G12" s="4" t="n">
        <v>14452</v>
      </c>
      <c r="H12" s="4" t="n">
        <v>104182</v>
      </c>
      <c r="I12" s="4" t="n">
        <v>7026</v>
      </c>
      <c r="J12" s="4" t="n">
        <v>80503</v>
      </c>
      <c r="K12" s="4" t="n">
        <v>171958</v>
      </c>
      <c r="L12" s="4" t="n">
        <v>53077</v>
      </c>
      <c r="M12" s="4" t="n">
        <v>1640</v>
      </c>
      <c r="N12" s="4" t="n">
        <v>41758</v>
      </c>
      <c r="O12" s="4" t="n">
        <v>75483</v>
      </c>
    </row>
    <row r="13" customFormat="false" ht="15" hidden="false" customHeight="false" outlineLevel="0" collapsed="false">
      <c r="A13" s="3" t="s">
        <v>30</v>
      </c>
      <c r="B13" s="4" t="n">
        <v>495204</v>
      </c>
      <c r="C13" s="4" t="n">
        <v>326594</v>
      </c>
      <c r="D13" s="7" t="n">
        <f aca="false">C13/B13</f>
        <v>0.659514058852513</v>
      </c>
      <c r="E13" s="4" t="n">
        <v>41660</v>
      </c>
      <c r="F13" s="4" t="n">
        <v>88037</v>
      </c>
      <c r="G13" s="4" t="n">
        <v>13839</v>
      </c>
      <c r="H13" s="4" t="n">
        <v>100185</v>
      </c>
      <c r="I13" s="4" t="n">
        <v>6009</v>
      </c>
      <c r="J13" s="4" t="n">
        <v>76864</v>
      </c>
      <c r="K13" s="4" t="n">
        <v>168610</v>
      </c>
      <c r="L13" s="4" t="n">
        <v>52519</v>
      </c>
      <c r="M13" s="4" t="n">
        <v>1390</v>
      </c>
      <c r="N13" s="4" t="n">
        <v>45883</v>
      </c>
      <c r="O13" s="4" t="n">
        <v>68818</v>
      </c>
    </row>
    <row r="14" customFormat="false" ht="15" hidden="false" customHeight="false" outlineLevel="0" collapsed="false">
      <c r="A14" s="3" t="s">
        <v>31</v>
      </c>
      <c r="B14" s="4" t="n">
        <v>484344</v>
      </c>
      <c r="C14" s="4" t="n">
        <v>316934</v>
      </c>
      <c r="D14" s="7" t="n">
        <f aca="false">C14/B14</f>
        <v>0.654357233701667</v>
      </c>
      <c r="E14" s="4" t="n">
        <v>40728</v>
      </c>
      <c r="F14" s="4" t="n">
        <v>82331</v>
      </c>
      <c r="G14" s="4" t="n">
        <v>13940</v>
      </c>
      <c r="H14" s="4" t="n">
        <v>98620</v>
      </c>
      <c r="I14" s="4" t="n">
        <v>5444</v>
      </c>
      <c r="J14" s="4" t="n">
        <v>75871</v>
      </c>
      <c r="K14" s="4" t="n">
        <v>167410</v>
      </c>
      <c r="L14" s="4" t="n">
        <v>51096</v>
      </c>
      <c r="M14" s="4" t="n">
        <v>1793</v>
      </c>
      <c r="N14" s="4" t="n">
        <v>46254</v>
      </c>
      <c r="O14" s="4" t="n">
        <v>68267</v>
      </c>
    </row>
    <row r="15" customFormat="false" ht="15" hidden="false" customHeight="false" outlineLevel="0" collapsed="false">
      <c r="A15" s="3" t="s">
        <v>32</v>
      </c>
      <c r="B15" s="4" t="n">
        <v>569371</v>
      </c>
      <c r="C15" s="4" t="n">
        <v>377752</v>
      </c>
      <c r="D15" s="7" t="n">
        <f aca="false">C15/B15</f>
        <v>0.663454935358492</v>
      </c>
      <c r="E15" s="4" t="n">
        <v>47162</v>
      </c>
      <c r="F15" s="4" t="n">
        <v>97431</v>
      </c>
      <c r="G15" s="4" t="n">
        <v>15703</v>
      </c>
      <c r="H15" s="4" t="n">
        <v>118812</v>
      </c>
      <c r="I15" s="4" t="n">
        <v>8424</v>
      </c>
      <c r="J15" s="4" t="n">
        <v>90220</v>
      </c>
      <c r="K15" s="4" t="n">
        <v>191619</v>
      </c>
      <c r="L15" s="4" t="n">
        <v>52720</v>
      </c>
      <c r="M15" s="4" t="n">
        <v>2296</v>
      </c>
      <c r="N15" s="4" t="n">
        <v>49834</v>
      </c>
      <c r="O15" s="4" t="n">
        <v>86769</v>
      </c>
    </row>
    <row r="16" customFormat="false" ht="15" hidden="false" customHeight="false" outlineLevel="0" collapsed="false">
      <c r="A16" s="3" t="s">
        <v>33</v>
      </c>
      <c r="B16" s="4" t="n">
        <v>558384</v>
      </c>
      <c r="C16" s="4" t="n">
        <v>372354</v>
      </c>
      <c r="D16" s="7" t="n">
        <f aca="false">C16/B16</f>
        <v>0.66684217312817</v>
      </c>
      <c r="E16" s="4" t="n">
        <v>45941</v>
      </c>
      <c r="F16" s="4" t="n">
        <v>96894</v>
      </c>
      <c r="G16" s="4" t="n">
        <v>15813</v>
      </c>
      <c r="H16" s="4" t="n">
        <v>114666</v>
      </c>
      <c r="I16" s="4" t="n">
        <v>9374</v>
      </c>
      <c r="J16" s="4" t="n">
        <v>89666</v>
      </c>
      <c r="K16" s="4" t="n">
        <v>186030</v>
      </c>
      <c r="L16" s="4" t="n">
        <v>49779</v>
      </c>
      <c r="M16" s="4" t="n">
        <v>2119</v>
      </c>
      <c r="N16" s="4" t="n">
        <v>43036</v>
      </c>
      <c r="O16" s="4" t="n">
        <v>91096</v>
      </c>
    </row>
    <row r="17" customFormat="false" ht="15" hidden="false" customHeight="false" outlineLevel="0" collapsed="false">
      <c r="A17" s="10" t="s">
        <v>34</v>
      </c>
      <c r="B17" s="11" t="n">
        <f aca="false">SUM(B2:B16)</f>
        <v>7556355</v>
      </c>
      <c r="C17" s="11" t="n">
        <f aca="false">SUM(C2:C16)</f>
        <v>5023802</v>
      </c>
      <c r="D17" s="12" t="n">
        <f aca="false">C17/B17</f>
        <v>0.664844624160723</v>
      </c>
      <c r="E17" s="11" t="n">
        <f aca="false">SUM(E2:E16)</f>
        <v>635895</v>
      </c>
      <c r="F17" s="11" t="n">
        <f aca="false">SUM(F2:F16)</f>
        <v>1303134</v>
      </c>
      <c r="G17" s="11" t="n">
        <f aca="false">SUM(G2:G16)</f>
        <v>226487</v>
      </c>
      <c r="H17" s="11" t="n">
        <f aca="false">SUM(H2:H16)</f>
        <v>1579016</v>
      </c>
      <c r="I17" s="11" t="n">
        <f aca="false">SUM(I2:I16)</f>
        <v>107314</v>
      </c>
      <c r="J17" s="11" t="n">
        <f aca="false">SUM(J2:J16)</f>
        <v>1171956</v>
      </c>
      <c r="K17" s="11" t="n">
        <f aca="false">SUM(K2:K16)</f>
        <v>2532553</v>
      </c>
      <c r="L17" s="11" t="n">
        <f aca="false">SUM(L2:L16)</f>
        <v>803937</v>
      </c>
      <c r="M17" s="11" t="n">
        <f aca="false">SUM(M2:M16)</f>
        <v>27269</v>
      </c>
      <c r="N17" s="11" t="n">
        <f aca="false">SUM(N2:N16)</f>
        <v>596457</v>
      </c>
      <c r="O17" s="11" t="n">
        <f aca="false">SUM(O2:O16)</f>
        <v>1104890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5"/>
  </cols>
  <sheetData>
    <row r="1" customFormat="false" ht="30" hidden="false" customHeight="true" outlineLevel="0" collapsed="false">
      <c r="A1" s="1" t="s">
        <v>56</v>
      </c>
      <c r="B1" s="1" t="s">
        <v>57</v>
      </c>
    </row>
    <row r="2" customFormat="false" ht="15" hidden="false" customHeight="false" outlineLevel="0" collapsed="false">
      <c r="A2" s="15" t="s">
        <v>58</v>
      </c>
      <c r="B2" s="16" t="s">
        <v>59</v>
      </c>
    </row>
    <row r="3" customFormat="false" ht="15" hidden="false" customHeight="false" outlineLevel="0" collapsed="false">
      <c r="A3" s="15" t="s">
        <v>60</v>
      </c>
      <c r="B3" s="17" t="s">
        <v>61</v>
      </c>
    </row>
    <row r="4" customFormat="false" ht="15" hidden="false" customHeight="false" outlineLevel="0" collapsed="false">
      <c r="A4" s="15" t="s">
        <v>62</v>
      </c>
      <c r="B4" s="17" t="s">
        <v>63</v>
      </c>
    </row>
    <row r="5" customFormat="false" ht="15" hidden="false" customHeight="false" outlineLevel="0" collapsed="false">
      <c r="A5" s="18" t="s">
        <v>64</v>
      </c>
      <c r="B5" s="16" t="s">
        <v>65</v>
      </c>
    </row>
    <row r="6" customFormat="false" ht="15" hidden="false" customHeight="false" outlineLevel="0" collapsed="false">
      <c r="A6" s="15" t="s">
        <v>66</v>
      </c>
      <c r="B6" s="17" t="s">
        <v>67</v>
      </c>
    </row>
    <row r="7" customFormat="false" ht="15" hidden="false" customHeight="false" outlineLevel="0" collapsed="false">
      <c r="A7" s="15" t="s">
        <v>4</v>
      </c>
      <c r="B7" s="17" t="s">
        <v>68</v>
      </c>
    </row>
    <row r="8" customFormat="false" ht="29.85" hidden="false" customHeight="false" outlineLevel="0" collapsed="false">
      <c r="A8" s="15" t="s">
        <v>69</v>
      </c>
      <c r="B8" s="17" t="s">
        <v>70</v>
      </c>
    </row>
    <row r="9" customFormat="false" ht="15" hidden="false" customHeight="false" outlineLevel="0" collapsed="false">
      <c r="A9" s="15" t="s">
        <v>71</v>
      </c>
      <c r="B9" s="16" t="s">
        <v>72</v>
      </c>
    </row>
    <row r="10" customFormat="false" ht="15" hidden="false" customHeight="false" outlineLevel="0" collapsed="false">
      <c r="A10" s="15" t="s">
        <v>73</v>
      </c>
      <c r="B10" s="1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2026-09-18T14:54:10Z</dcterms:created>
  <dc:creator>openpyxl</dc:creator>
  <dc:description/>
  <dc:language>en-US</dc:language>
  <cp:lastModifiedBy/>
  <dcterms:modified xsi:type="dcterms:W3CDTF">2026-09-18T23:54:11Z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